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Test2\"/>
    </mc:Choice>
  </mc:AlternateContent>
  <xr:revisionPtr revIDLastSave="0" documentId="13_ncr:1_{84686F17-EE1D-41E3-A4B8-A7DCA351E3E9}" xr6:coauthVersionLast="47" xr6:coauthVersionMax="47" xr10:uidLastSave="{00000000-0000-0000-0000-000000000000}"/>
  <bookViews>
    <workbookView xWindow="-110" yWindow="-110" windowWidth="19420" windowHeight="10420" xr2:uid="{1DFE6D84-DF39-45C9-9260-5863FE5FF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G15" i="1"/>
  <c r="J11" i="1"/>
  <c r="J8" i="1"/>
  <c r="G11" i="1"/>
  <c r="J5" i="1"/>
  <c r="G5" i="1"/>
  <c r="G8" i="1"/>
  <c r="C8" i="1"/>
  <c r="C11" i="1"/>
  <c r="D5" i="1"/>
  <c r="E5" i="1" s="1"/>
  <c r="C5" i="1"/>
  <c r="C13" i="1" s="1"/>
  <c r="D8" i="1" l="1"/>
  <c r="E8" i="1" l="1"/>
  <c r="D11" i="1"/>
  <c r="E11" i="1" s="1"/>
</calcChain>
</file>

<file path=xl/sharedStrings.xml><?xml version="1.0" encoding="utf-8"?>
<sst xmlns="http://schemas.openxmlformats.org/spreadsheetml/2006/main" count="17" uniqueCount="11">
  <si>
    <t>Pokok</t>
  </si>
  <si>
    <t>Bunga</t>
  </si>
  <si>
    <t>total</t>
  </si>
  <si>
    <t>cicilan minggu 1</t>
  </si>
  <si>
    <t>cicilan minggu ke 2</t>
  </si>
  <si>
    <t>sisa pokok</t>
  </si>
  <si>
    <t>total sisa + bunga</t>
  </si>
  <si>
    <t xml:space="preserve">cicilan minggu ke 3 </t>
  </si>
  <si>
    <t xml:space="preserve">cicilan </t>
  </si>
  <si>
    <t>totalbunga</t>
  </si>
  <si>
    <t>Bunga di bayar di cicilan terakhir otomatis pembayaran cicilan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</si>
</sst>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F952-58CF-4206-8014-BA52FFD33187}">
  <dimension ref="A1:L16"/>
  <sheetViews>
    <sheetView tabSelected="1" topLeftCell="D1" workbookViewId="0">
      <selection activeCell="L12" sqref="L12"/>
    </sheetView>
  </sheetViews>
  <sheetFormatPr defaultRowHeight="14.5" x14ac:dyDescent="0.35"/>
  <cols>
    <col min="1" max="1" width="16.1796875" style="1" bestFit="1" customWidth="1"/>
    <col min="2" max="2" width="14.36328125" bestFit="1" customWidth="1"/>
    <col min="3" max="3" width="14.36328125" style="1" bestFit="1" customWidth="1"/>
    <col min="4" max="4" width="13.7265625" customWidth="1"/>
    <col min="5" max="5" width="13.36328125" bestFit="1" customWidth="1"/>
    <col min="7" max="7" width="16.1796875" style="1" bestFit="1" customWidth="1"/>
    <col min="8" max="8" width="14.36328125" bestFit="1" customWidth="1"/>
    <col min="9" max="9" width="14.36328125" style="1" bestFit="1" customWidth="1"/>
    <col min="10" max="10" width="13.7265625" customWidth="1"/>
    <col min="11" max="11" width="13.36328125" bestFit="1" customWidth="1"/>
    <col min="12" max="12" width="60.1796875" bestFit="1" customWidth="1"/>
  </cols>
  <sheetData>
    <row r="1" spans="1:12" x14ac:dyDescent="0.35">
      <c r="A1" s="1" t="s">
        <v>0</v>
      </c>
      <c r="B1" t="s">
        <v>1</v>
      </c>
      <c r="C1" s="1" t="s">
        <v>2</v>
      </c>
      <c r="D1" t="s">
        <v>5</v>
      </c>
      <c r="E1" t="s">
        <v>6</v>
      </c>
      <c r="G1" s="1" t="s">
        <v>0</v>
      </c>
      <c r="H1" t="s">
        <v>1</v>
      </c>
      <c r="I1" s="1" t="s">
        <v>8</v>
      </c>
      <c r="J1" t="s">
        <v>5</v>
      </c>
      <c r="L1" s="1" t="s">
        <v>10</v>
      </c>
    </row>
    <row r="2" spans="1:12" x14ac:dyDescent="0.35">
      <c r="A2" s="1">
        <v>100000000</v>
      </c>
      <c r="B2">
        <v>0.75</v>
      </c>
      <c r="G2" s="1">
        <v>100000000</v>
      </c>
      <c r="H2">
        <v>0.75</v>
      </c>
      <c r="L2" s="1">
        <f>I11+G15</f>
        <v>34502500</v>
      </c>
    </row>
    <row r="4" spans="1:12" x14ac:dyDescent="0.35">
      <c r="A4" s="1" t="s">
        <v>3</v>
      </c>
      <c r="B4" s="1"/>
      <c r="G4" s="1" t="s">
        <v>3</v>
      </c>
    </row>
    <row r="5" spans="1:12" x14ac:dyDescent="0.35">
      <c r="A5" s="1">
        <v>33000000</v>
      </c>
      <c r="B5">
        <v>0.25</v>
      </c>
      <c r="C5" s="1">
        <f>(A5*B5/100)+A5</f>
        <v>33082500</v>
      </c>
      <c r="D5" s="1">
        <f>A2-A5</f>
        <v>67000000</v>
      </c>
      <c r="E5" s="1">
        <f>D5+(D5*B5/100)</f>
        <v>67167500</v>
      </c>
      <c r="G5" s="1">
        <f>(G2*H5/100)</f>
        <v>250000</v>
      </c>
      <c r="H5">
        <v>0.25</v>
      </c>
      <c r="I5" s="1">
        <v>33000000</v>
      </c>
      <c r="J5" s="1">
        <f>G2-I5</f>
        <v>67000000</v>
      </c>
      <c r="K5" s="1"/>
    </row>
    <row r="7" spans="1:12" x14ac:dyDescent="0.35">
      <c r="A7" s="1" t="s">
        <v>4</v>
      </c>
      <c r="G7" s="1" t="s">
        <v>4</v>
      </c>
    </row>
    <row r="8" spans="1:12" x14ac:dyDescent="0.35">
      <c r="A8" s="1">
        <v>33000000</v>
      </c>
      <c r="B8">
        <v>0.5</v>
      </c>
      <c r="C8" s="1">
        <f>(A8*B8/100)+A8</f>
        <v>33165000</v>
      </c>
      <c r="D8" s="1">
        <f>D5-A8</f>
        <v>34000000</v>
      </c>
      <c r="E8" s="1">
        <f>D8+(D8*B8/100)</f>
        <v>34170000</v>
      </c>
      <c r="G8" s="1">
        <f>(J5*H8/100)</f>
        <v>167500</v>
      </c>
      <c r="H8">
        <v>0.25</v>
      </c>
      <c r="I8" s="1">
        <v>33000000</v>
      </c>
      <c r="J8" s="1">
        <f>J5-I8</f>
        <v>34000000</v>
      </c>
      <c r="K8" s="1"/>
    </row>
    <row r="10" spans="1:12" x14ac:dyDescent="0.35">
      <c r="A10" s="1" t="s">
        <v>7</v>
      </c>
      <c r="G10" s="1" t="s">
        <v>7</v>
      </c>
    </row>
    <row r="11" spans="1:12" x14ac:dyDescent="0.35">
      <c r="A11" s="1">
        <v>34000000</v>
      </c>
      <c r="B11">
        <v>0.75</v>
      </c>
      <c r="C11" s="1">
        <f>(A11*B11/100)+A11</f>
        <v>34255000</v>
      </c>
      <c r="D11" s="1">
        <f>D8-A11</f>
        <v>0</v>
      </c>
      <c r="E11" s="1">
        <f>D11+(D11*B11/100)</f>
        <v>0</v>
      </c>
      <c r="G11" s="1">
        <f>(J8*H11/100)</f>
        <v>85000</v>
      </c>
      <c r="H11">
        <v>0.25</v>
      </c>
      <c r="I11" s="1">
        <v>34000000</v>
      </c>
      <c r="J11" s="1">
        <f>J8-I11</f>
        <v>0</v>
      </c>
      <c r="K11" s="1"/>
    </row>
    <row r="13" spans="1:12" x14ac:dyDescent="0.35">
      <c r="C13" s="1">
        <f>C5+C8+C11</f>
        <v>100502500</v>
      </c>
    </row>
    <row r="14" spans="1:12" x14ac:dyDescent="0.35">
      <c r="G14" s="1" t="s">
        <v>9</v>
      </c>
    </row>
    <row r="15" spans="1:12" x14ac:dyDescent="0.35">
      <c r="G15" s="1">
        <f>G5+G8+G11</f>
        <v>502500</v>
      </c>
    </row>
    <row r="16" spans="1:12" x14ac:dyDescent="0.35">
      <c r="B16" s="1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mss</dc:creator>
  <cp:lastModifiedBy>mss</cp:lastModifiedBy>
  <dcterms:created xsi:type="dcterms:W3CDTF">2026-04-01T03:42:06Z</dcterms:created>
  <dcterms:modified xsi:type="dcterms:W3CDTF">2026-04-01T06:39:10Z</dcterms:modified>
</cp:coreProperties>
</file>